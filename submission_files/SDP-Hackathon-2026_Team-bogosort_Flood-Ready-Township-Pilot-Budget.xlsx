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Avoided loss" sheetId="2" r:id="rId6"/>
    <sheet state="visible" name="Budget" sheetId="3" r:id="rId7"/>
    <sheet state="visible" name="Cost vs value" sheetId="4" r:id="rId8"/>
  </sheets>
  <definedNames/>
  <calcPr/>
</workbook>
</file>

<file path=xl/sharedStrings.xml><?xml version="1.0" encoding="utf-8"?>
<sst xmlns="http://schemas.openxmlformats.org/spreadsheetml/2006/main" count="211" uniqueCount="158">
  <si>
    <t>Flood-Ready Township: cost inputs</t>
  </si>
  <si>
    <t>Bukit Raja pilot (year 1) and yearly cost per township, MYR</t>
  </si>
  <si>
    <t>SDP's own avoided loss against the yearly running cost of one township, MYR</t>
  </si>
  <si>
    <t>Blue numbers are inputs. Prices are public list prices found on 22 Oct 2026. Rows marked Estimate are our assumptions, not quotes.</t>
  </si>
  <si>
    <t>All figures are formulas over the Inputs tab.</t>
  </si>
  <si>
    <t>Above 1.0, SDP saves more each year than the system costs to run.</t>
  </si>
  <si>
    <t>Input</t>
  </si>
  <si>
    <t>Avoided-loss scenario</t>
  </si>
  <si>
    <t>Low cost</t>
  </si>
  <si>
    <t>Base</t>
  </si>
  <si>
    <t>High cost</t>
  </si>
  <si>
    <t>Unit</t>
  </si>
  <si>
    <t>Source</t>
  </si>
  <si>
    <t>Avoided loss, residents and SDP</t>
  </si>
  <si>
    <t>SDP's own cost avoided</t>
  </si>
  <si>
    <t>Cost per township (base)</t>
  </si>
  <si>
    <t>Cost per township (high cost)</t>
  </si>
  <si>
    <t>Exchange rate</t>
  </si>
  <si>
    <t>SDP saving per RM1 (base cost)</t>
  </si>
  <si>
    <t>How it is calculated</t>
  </si>
  <si>
    <t>SDP saving per RM1 (high cost)</t>
  </si>
  <si>
    <t>Pays back at base cost?</t>
  </si>
  <si>
    <t>One-off equipment and set-up</t>
  </si>
  <si>
    <t>Low</t>
  </si>
  <si>
    <t>MYR per USD</t>
  </si>
  <si>
    <t>30rates.com USD/MYR spot 15-16 Sep 2026 (4.0825), latest spot rate found: https://30rates.com/usd-to-myr-today-forecast-dollar-to-malaysian-ringgit</t>
  </si>
  <si>
    <t>How the avoided loss is estimated: Bandar Bukit Raja, 2024</t>
  </si>
  <si>
    <t>Water-level sensors</t>
  </si>
  <si>
    <t>Water-level sensors in the pilot</t>
  </si>
  <si>
    <t>sensors</t>
  </si>
  <si>
    <t>Roadmap Phase 1: 6 to 10 sensors on the memorandum streets</t>
  </si>
  <si>
    <t>Sensor price</t>
  </si>
  <si>
    <t>USD each</t>
  </si>
  <si>
    <t>Low and Base: Dragino DDS75-LB LoRaWAN ultrasonic distance sensor, US retail USD 90 to 111 (https://mydevices.com/product/dragino-dds75-lb-distance-detection-sensor/, https://embeddedworks.net/product/sens778/). High: Milesight EM500-UDL, USD 430 (https://store.mcci.com/products/milesight-em500-udl-ultrasonic-distance-level-sensor). Order the AS923 band for Malaysia.</t>
  </si>
  <si>
    <t>Installation per sensor</t>
  </si>
  <si>
    <t>MYR each</t>
  </si>
  <si>
    <t>Estimate: mounting bracket and labour; no quote yet</t>
  </si>
  <si>
    <t>LoRaWAN gateways</t>
  </si>
  <si>
    <t>Blue numbers are inputs, either from the cited source or our own estimate (marked Estimate). Every other number is a formula. SDP does not publish its flood cost, so most inputs are estimates.</t>
  </si>
  <si>
    <t>gateways</t>
  </si>
  <si>
    <t>Estimate: gateways needed to cover Bukit Raja Phase 1 and 2</t>
  </si>
  <si>
    <t>Gateway price</t>
  </si>
  <si>
    <t>Low: Dragino LPS8N, USD 170 (https://www.robotshop.com/products/lps8n-indoor-lorawan-gateway-915-mhz-north-america; 915 MHz listing, AS923 price not found). Base and High: Milesight UG65, USD 340 to 467.50 (https://store.mcci.com/products/milesight-ug65-semi-industrial-lorawan-gateway)</t>
  </si>
  <si>
    <t>Gateway mobile data</t>
  </si>
  <si>
    <t>MYR per gateway per month</t>
  </si>
  <si>
    <t>Low: gateway on SDP office internet. Base and High: U Mobile unlimited data plan, RM38 per month (https://www.instarem.com/blog/the-best-mobile-plans-malaysia/)</t>
  </si>
  <si>
    <t>Cloud server</t>
  </si>
  <si>
    <t>Item</t>
  </si>
  <si>
    <t>USD per month</t>
  </si>
  <si>
    <t>DigitalOcean droplet, 2 GB (USD 12) or 4 GB (USD 24) (https://www.vpsbenchmarks.com/hosters/digitalocean/plans/std_2gb_1core)</t>
  </si>
  <si>
    <t>Sensor upkeep</t>
  </si>
  <si>
    <t>MYR per sensor per year</t>
  </si>
  <si>
    <t>Estimate: batteries, cleaning and site visits</t>
  </si>
  <si>
    <t>Ops staff time</t>
  </si>
  <si>
    <t>High</t>
  </si>
  <si>
    <t>share of one full-time job</t>
  </si>
  <si>
    <t>Estimate</t>
  </si>
  <si>
    <t>Source or basis</t>
  </si>
  <si>
    <t>Ops staff salary</t>
  </si>
  <si>
    <t>MYR per month</t>
  </si>
  <si>
    <t>1. Flood loss in 2024</t>
  </si>
  <si>
    <t>Low: operation executive, Kuala Lumpur average RM2,500 (https://www.ajobthing.com/resources/recruitment-tools/salary-comparison-tool/operation-executive-salary-in-kuala-lumpur). Base: DOSM median monthly salary, Kuala Lumpur, 3Q 2025, RM4,064 (https://stashaway.my/r/average-salary-malaysia). High: top KL offers on the AJobThing page, RM6,000</t>
  </si>
  <si>
    <t>Sensors x price (USD) x exchange rate</t>
  </si>
  <si>
    <t>Employer EPF</t>
  </si>
  <si>
    <t>Installation</t>
  </si>
  <si>
    <t>share of salary</t>
  </si>
  <si>
    <t>KWSP employer rate: 13% for wages up to RM5,000, 12% above (https://help.talenox.com/en/articles/2488717-epf-contribution-rate)</t>
  </si>
  <si>
    <t>Employer SOCSO</t>
  </si>
  <si>
    <t>Homes with water inside, per flood</t>
  </si>
  <si>
    <t>Employer share for employees under 60 (https://blog.talenox.com/epf-socso-eis-pcb-complete-malaysian-payroll-compliance-outsourcing-guide). EIS not included: rate not confirmed</t>
  </si>
  <si>
    <t>Equipment life</t>
  </si>
  <si>
    <t>years</t>
  </si>
  <si>
    <t>Estimate: used to spread the equipment cost over its life</t>
  </si>
  <si>
    <t>Legal review of warning wording</t>
  </si>
  <si>
    <t>MYR, one-off</t>
  </si>
  <si>
    <t>Estimate: no quote yet</t>
  </si>
  <si>
    <t>homes</t>
  </si>
  <si>
    <t>Anchored on Sinar Harian, 6 Jun 2023: "an estimated 50 to 100 houses affected" in the Meru and Bukit Raja area on 4 Jun 2023 (https://www.sinarharian.com.my/article/262088/berita/semasa/rancangan-tebatan-banjir-di-klang-dilaksana-segera---nik-nazmi)</t>
  </si>
  <si>
    <t>Floods that entered homes in 2024</t>
  </si>
  <si>
    <t>Avoided loss if the system had run in 2024 (Bandar Bukit Raja)</t>
  </si>
  <si>
    <t>floods</t>
  </si>
  <si>
    <t>Estimate: FMT reports a flood on 24 Apr 2024 (https://freemalaysiatoday.com/category/nation/2024/05/24/developers-local-councils-need-to-hash-out-flood-issues-say-bandar-bukit-raja-folk); RTM says no homes were entered on 12 Nov 2024; residents say at least 3 floods a year (https://www.sinarharian.com.my/article/666626/edisi/selangor-kl/penduduk-bandar-bukit-raja-hadap-banjir-kilat-tiga-kali-setahun)</t>
  </si>
  <si>
    <t>Damage per home per flood</t>
  </si>
  <si>
    <t>MYR</t>
  </si>
  <si>
    <t>Estimate: home contents, cleaning and minor repairs after a shallow flash flood (up to 0.6 m)</t>
  </si>
  <si>
    <t>Cars damaged per flood</t>
  </si>
  <si>
    <t>cars</t>
  </si>
  <si>
    <t>Sensors x installation per sensor</t>
  </si>
  <si>
    <t>Estimate: news reports cars stranded in flood water, e.g. Utusan, 28 Nov 2024 (https://www.utusan.com.my/nasional/tragedi/2024/11/meru-kapar-banjir/)</t>
  </si>
  <si>
    <t>Repair cost per damaged car</t>
  </si>
  <si>
    <t>Residents' home damage</t>
  </si>
  <si>
    <t>MYR per year</t>
  </si>
  <si>
    <t>Calculated on the Avoided loss tab (row 38): flood loss in 2024 x the share the system would have avoided; every input and source is listed there</t>
  </si>
  <si>
    <t>Of which SDP's own cost avoided</t>
  </si>
  <si>
    <t>Gateways x price (USD) x exchange rate</t>
  </si>
  <si>
    <t>Homes x floods x damage per home</t>
  </si>
  <si>
    <t>Residents' car damage</t>
  </si>
  <si>
    <t>Calculated on the Avoided loss tab (row 37): avoided SDP works, sales discounts and complaint handling</t>
  </si>
  <si>
    <t>Cars x floods x repair cost</t>
  </si>
  <si>
    <t>One-off</t>
  </si>
  <si>
    <t>Residents' loss</t>
  </si>
  <si>
    <t>One-off total</t>
  </si>
  <si>
    <t>The avoided-loss figures are worked out step by step on the Avoided loss tab; most of its inputs are estimates because SDP does not publish its flood cost. In the low case the system does not pay back.</t>
  </si>
  <si>
    <t>SDP drainage and response works</t>
  </si>
  <si>
    <t>Estimate: SDP reports desilting and drainage works at high-risk townships (Integrated Annual Report 2025, p.137) but does not publish the cost</t>
  </si>
  <si>
    <t>Flood-exposed Bukit Raja home sales</t>
  </si>
  <si>
    <t>Estimate: SDP does not publish sales by street</t>
  </si>
  <si>
    <t>Price discount on those sales</t>
  </si>
  <si>
    <t>Running cost per year</t>
  </si>
  <si>
    <t>share of sales</t>
  </si>
  <si>
    <t>SDP sales discounts</t>
  </si>
  <si>
    <t>Sales x discount</t>
  </si>
  <si>
    <t>SDP complaint handling and staff time</t>
  </si>
  <si>
    <t>SDP's cost</t>
  </si>
  <si>
    <t>Works + sales discounts + complaint handling</t>
  </si>
  <si>
    <t>Total flood loss, residents and SDP</t>
  </si>
  <si>
    <t>USD per month x 12 x exchange rate</t>
  </si>
  <si>
    <t>SDP profit after tax and minorities (PATAMI), FY2024</t>
  </si>
  <si>
    <t>SDP AGM presentation, 10 Jun 2026, p.19</t>
  </si>
  <si>
    <t>SDP's cost as a share of FY2024 profit</t>
  </si>
  <si>
    <t>Gateways x plan per month x 12</t>
  </si>
  <si>
    <t>share</t>
  </si>
  <si>
    <t>2. What the system would have avoided</t>
  </si>
  <si>
    <t>Households that get the alert in time and act</t>
  </si>
  <si>
    <t>share of households</t>
  </si>
  <si>
    <t>Estimate: how many residents subscribe and act</t>
  </si>
  <si>
    <t>Home damage cut for households that act</t>
  </si>
  <si>
    <t>Kreibich, Hudson and Merz (EGU 2022): in 4,468 German flood damage cases, warnings at least 1 h ahead cut the contents damage ratio by 4 points from a mean of 21%, about 19% (https://meetingorganizer.copernicus.org/EGU22/EGU22-7247.html). Low case: some warnings come less than 1 h ahead</t>
  </si>
  <si>
    <t>Car damage cut for households that act</t>
  </si>
  <si>
    <t>Estimate: moving a car to higher ground is the easiest action</t>
  </si>
  <si>
    <t>SDP works aimed better with street flood records</t>
  </si>
  <si>
    <t>share of works</t>
  </si>
  <si>
    <t>Sales discounts avoided</t>
  </si>
  <si>
    <t>Estimate: counted in the high case only</t>
  </si>
  <si>
    <t>Complaint handling saved</t>
  </si>
  <si>
    <t>Sensors x upkeep per sensor</t>
  </si>
  <si>
    <t>Ops staff</t>
  </si>
  <si>
    <t>Avoided home damage</t>
  </si>
  <si>
    <t>Home damage x households that act x damage cut</t>
  </si>
  <si>
    <t>Avoided car damage</t>
  </si>
  <si>
    <t>Car damage x households that act x damage cut</t>
  </si>
  <si>
    <t>Avoided SDP works</t>
  </si>
  <si>
    <t>Salary x (1 + EPF + SOCSO) x 12 x share of a full-time job</t>
  </si>
  <si>
    <t>Running total per year</t>
  </si>
  <si>
    <t>Avoided sales discounts</t>
  </si>
  <si>
    <t>Pilot, year 1 total</t>
  </si>
  <si>
    <t>Avoided complaint handling</t>
  </si>
  <si>
    <t>Avoided loss, residents</t>
  </si>
  <si>
    <t>One-off total + one year of running cost</t>
  </si>
  <si>
    <t>Avoided loss, SDP's own cost</t>
  </si>
  <si>
    <t>Cost per township per year, after the pilot</t>
  </si>
  <si>
    <t>Equipment spread over its life</t>
  </si>
  <si>
    <t>Share of the total flood loss avoided</t>
  </si>
  <si>
    <t>(Sensors + installation + gateways) / equipment life</t>
  </si>
  <si>
    <t>Running cost</t>
  </si>
  <si>
    <t>Same as the pilot's running cost</t>
  </si>
  <si>
    <t>Total per township per year</t>
  </si>
  <si>
    <t>Legal review is one-off, so it is left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</si>
</sst>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M&quot;#,##0;(&quot;RM&quot;#,##0);&quot;-&quot;"/>
    <numFmt numFmtId="165" formatCode="0.0&quot;x&quot;"/>
    <numFmt numFmtId="166" formatCode="0.0%"/>
  </numFmts>
  <fonts count="1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i/>
      <color theme="1"/>
      <name val="Arial"/>
    </font>
    <font>
      <b/>
      <color rgb="FFFFFFFF"/>
      <name val="Arial"/>
    </font>
    <font>
      <b/>
      <color theme="1"/>
      <name val="Arial"/>
    </font>
    <font>
      <color rgb="FF0000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2.0"/>
      <color theme="1"/>
      <name val="Arial"/>
    </font>
    <font>
      <sz val="10.0"/>
      <color rgb="FF008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3863"/>
        <bgColor rgb="FF1F3863"/>
      </patternFill>
    </fill>
    <fill>
      <patternFill patternType="solid">
        <fgColor rgb="FFECECEC"/>
        <bgColor rgb="FFECECEC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0" xfId="0" applyBorder="1" applyFill="1" applyFont="1"/>
    <xf borderId="1" fillId="2" fontId="4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6" numFmtId="2" xfId="0" applyAlignment="1" applyBorder="1" applyFont="1" applyNumberFormat="1">
      <alignment readingOrder="0" vertical="top"/>
    </xf>
    <xf borderId="1" fillId="0" fontId="2" numFmtId="0" xfId="0" applyBorder="1" applyFont="1"/>
    <xf borderId="1" fillId="0" fontId="2" numFmtId="0" xfId="0" applyAlignment="1" applyBorder="1" applyFont="1">
      <alignment readingOrder="0" shrinkToFit="0" vertical="top" wrapText="1"/>
    </xf>
    <xf borderId="1" fillId="0" fontId="6" numFmtId="1" xfId="0" applyAlignment="1" applyBorder="1" applyFont="1" applyNumberFormat="1">
      <alignment readingOrder="0" vertical="top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0" fontId="6" numFmtId="4" xfId="0" applyAlignment="1" applyBorder="1" applyFont="1" applyNumberFormat="1">
      <alignment readingOrder="0" vertical="top"/>
    </xf>
    <xf borderId="1" fillId="0" fontId="6" numFmtId="3" xfId="0" applyAlignment="1" applyBorder="1" applyFont="1" applyNumberFormat="1">
      <alignment readingOrder="0" vertical="top"/>
    </xf>
    <xf borderId="1" fillId="0" fontId="2" numFmtId="164" xfId="0" applyBorder="1" applyFont="1" applyNumberFormat="1"/>
    <xf borderId="0" fillId="0" fontId="8" numFmtId="0" xfId="0" applyAlignment="1" applyFont="1">
      <alignment readingOrder="0" shrinkToFit="0" vertical="center" wrapText="1"/>
    </xf>
    <xf borderId="0" fillId="3" fontId="9" numFmtId="0" xfId="0" applyAlignment="1" applyFill="1" applyFont="1">
      <alignment readingOrder="0" shrinkToFit="0" vertical="center" wrapText="1"/>
    </xf>
    <xf borderId="0" fillId="3" fontId="9" numFmtId="0" xfId="0" applyAlignment="1" applyFill="1" applyFont="1">
      <alignment readingOrder="0" vertical="center"/>
    </xf>
    <xf borderId="1" fillId="0" fontId="6" numFmtId="9" xfId="0" applyAlignment="1" applyBorder="1" applyFont="1" applyNumberFormat="1">
      <alignment readingOrder="0" vertical="top"/>
    </xf>
    <xf borderId="0" fillId="4" fontId="10" numFmtId="0" xfId="0" applyAlignment="1" applyFill="1" applyFont="1">
      <alignment readingOrder="0" shrinkToFit="0" vertical="center" wrapText="1"/>
    </xf>
    <xf borderId="1" fillId="0" fontId="6" numFmtId="10" xfId="0" applyAlignment="1" applyBorder="1" applyFont="1" applyNumberFormat="1">
      <alignment readingOrder="0" vertical="top"/>
    </xf>
    <xf borderId="0" fillId="4" fontId="10" numFmtId="0" xfId="0" applyAlignment="1" applyFill="1" applyFont="1">
      <alignment vertical="center"/>
    </xf>
    <xf borderId="0" fillId="4" fontId="10" numFmtId="0" xfId="0" applyAlignment="1" applyFill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2" numFmtId="165" xfId="0" applyBorder="1" applyFont="1" applyNumberFormat="1"/>
    <xf borderId="0" fillId="0" fontId="11" numFmtId="3" xfId="0" applyAlignment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12" numFmtId="0" xfId="0" applyAlignment="1" applyFont="1">
      <alignment readingOrder="0" vertical="top"/>
    </xf>
    <xf borderId="1" fillId="2" fontId="4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horizontal="center"/>
    </xf>
    <xf borderId="1" fillId="0" fontId="13" numFmtId="3" xfId="0" applyAlignment="1" applyBorder="1" applyFont="1" applyNumberFormat="1">
      <alignment readingOrder="0" vertical="top"/>
    </xf>
    <xf borderId="0" fillId="0" fontId="7" numFmtId="3" xfId="0" applyAlignment="1" applyFont="1" applyNumberFormat="1">
      <alignment vertical="center"/>
    </xf>
    <xf borderId="0" fillId="5" fontId="10" numFmtId="0" xfId="0" applyAlignment="1" applyFill="1" applyFont="1">
      <alignment readingOrder="0" shrinkToFit="0" vertical="center" wrapText="1"/>
    </xf>
    <xf borderId="1" fillId="0" fontId="5" numFmtId="164" xfId="0" applyBorder="1" applyFont="1" applyNumberFormat="1"/>
    <xf borderId="0" fillId="5" fontId="10" numFmtId="3" xfId="0" applyAlignment="1" applyFill="1" applyFont="1" applyNumberFormat="1">
      <alignment vertical="center"/>
    </xf>
    <xf borderId="0" fillId="5" fontId="10" numFmtId="0" xfId="0" applyAlignment="1" applyFill="1" applyFont="1">
      <alignment readingOrder="0" vertical="center"/>
    </xf>
    <xf borderId="0" fillId="5" fontId="10" numFmtId="0" xfId="0" applyAlignment="1" applyFill="1" applyFont="1">
      <alignment shrinkToFit="0" vertical="center" wrapText="1"/>
    </xf>
    <xf borderId="0" fillId="0" fontId="11" numFmtId="9" xfId="0" applyAlignment="1" applyFont="1" applyNumberFormat="1">
      <alignment readingOrder="0" vertical="center"/>
    </xf>
    <xf borderId="0" fillId="0" fontId="7" numFmtId="166" xfId="0" applyAlignment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1" fillId="5" fontId="5" numFmtId="0" xfId="0" applyAlignment="1" applyBorder="1" applyFill="1" applyFont="1">
      <alignment readingOrder="0"/>
    </xf>
    <xf borderId="1" fillId="5" fontId="5" numFmtId="164" xfId="0" applyBorder="1" applyFill="1" applyFont="1" applyNumberFormat="1"/>
    <xf borderId="0" fillId="5" fontId="10" numFmtId="166" xfId="0" applyAlignment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4" width="12.0"/>
    <col customWidth="1" min="5" max="5" width="23.88"/>
    <col customWidth="1" min="6" max="6" width="77.63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3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4" t="s">
        <v>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>
      <c r="A5" s="7" t="s">
        <v>17</v>
      </c>
      <c r="B5" s="10">
        <v>4.08</v>
      </c>
      <c r="C5" s="10">
        <v>4.08</v>
      </c>
      <c r="D5" s="10">
        <v>4.08</v>
      </c>
      <c r="E5" s="7" t="s">
        <v>24</v>
      </c>
      <c r="F5" s="12" t="s">
        <v>25</v>
      </c>
    </row>
    <row r="6">
      <c r="A6" s="7" t="s">
        <v>28</v>
      </c>
      <c r="B6" s="13">
        <v>6.0</v>
      </c>
      <c r="C6" s="13">
        <v>8.0</v>
      </c>
      <c r="D6" s="13">
        <v>10.0</v>
      </c>
      <c r="E6" s="7" t="s">
        <v>29</v>
      </c>
      <c r="F6" s="12" t="s">
        <v>30</v>
      </c>
    </row>
    <row r="7">
      <c r="A7" s="7" t="s">
        <v>31</v>
      </c>
      <c r="B7" s="16">
        <v>90.0</v>
      </c>
      <c r="C7" s="16">
        <v>111.0</v>
      </c>
      <c r="D7" s="16">
        <v>430.0</v>
      </c>
      <c r="E7" s="7" t="s">
        <v>32</v>
      </c>
      <c r="F7" s="12" t="s">
        <v>33</v>
      </c>
    </row>
    <row r="8">
      <c r="A8" s="7" t="s">
        <v>34</v>
      </c>
      <c r="B8" s="17">
        <v>300.0</v>
      </c>
      <c r="C8" s="17">
        <v>500.0</v>
      </c>
      <c r="D8" s="17">
        <v>800.0</v>
      </c>
      <c r="E8" s="7" t="s">
        <v>35</v>
      </c>
      <c r="F8" s="12" t="s">
        <v>36</v>
      </c>
    </row>
    <row r="9">
      <c r="A9" s="7" t="s">
        <v>37</v>
      </c>
      <c r="B9" s="13">
        <v>1.0</v>
      </c>
      <c r="C9" s="13">
        <v>2.0</v>
      </c>
      <c r="D9" s="13">
        <v>2.0</v>
      </c>
      <c r="E9" s="7" t="s">
        <v>39</v>
      </c>
      <c r="F9" s="12" t="s">
        <v>40</v>
      </c>
    </row>
    <row r="10">
      <c r="A10" s="7" t="s">
        <v>41</v>
      </c>
      <c r="B10" s="16">
        <v>170.0</v>
      </c>
      <c r="C10" s="16">
        <v>340.0</v>
      </c>
      <c r="D10" s="16">
        <v>467.5</v>
      </c>
      <c r="E10" s="7" t="s">
        <v>32</v>
      </c>
      <c r="F10" s="12" t="s">
        <v>42</v>
      </c>
    </row>
    <row r="11">
      <c r="A11" s="7" t="s">
        <v>43</v>
      </c>
      <c r="B11" s="17">
        <v>0.0</v>
      </c>
      <c r="C11" s="17">
        <v>38.0</v>
      </c>
      <c r="D11" s="17">
        <v>38.0</v>
      </c>
      <c r="E11" s="7" t="s">
        <v>44</v>
      </c>
      <c r="F11" s="12" t="s">
        <v>45</v>
      </c>
    </row>
    <row r="12">
      <c r="A12" s="7" t="s">
        <v>46</v>
      </c>
      <c r="B12" s="17">
        <v>12.0</v>
      </c>
      <c r="C12" s="17">
        <v>12.0</v>
      </c>
      <c r="D12" s="17">
        <v>24.0</v>
      </c>
      <c r="E12" s="7" t="s">
        <v>48</v>
      </c>
      <c r="F12" s="12" t="s">
        <v>49</v>
      </c>
    </row>
    <row r="13">
      <c r="A13" s="7" t="s">
        <v>50</v>
      </c>
      <c r="B13" s="17">
        <v>100.0</v>
      </c>
      <c r="C13" s="17">
        <v>200.0</v>
      </c>
      <c r="D13" s="17">
        <v>400.0</v>
      </c>
      <c r="E13" s="7" t="s">
        <v>51</v>
      </c>
      <c r="F13" s="12" t="s">
        <v>52</v>
      </c>
    </row>
    <row r="14">
      <c r="A14" s="7" t="s">
        <v>53</v>
      </c>
      <c r="B14" s="22">
        <v>0.1</v>
      </c>
      <c r="C14" s="22">
        <v>0.25</v>
      </c>
      <c r="D14" s="22">
        <v>0.5</v>
      </c>
      <c r="E14" s="7" t="s">
        <v>55</v>
      </c>
      <c r="F14" s="12" t="s">
        <v>56</v>
      </c>
    </row>
    <row r="15">
      <c r="A15" s="7" t="s">
        <v>58</v>
      </c>
      <c r="B15" s="17">
        <v>2500.0</v>
      </c>
      <c r="C15" s="17">
        <v>4064.0</v>
      </c>
      <c r="D15" s="17">
        <v>6000.0</v>
      </c>
      <c r="E15" s="7" t="s">
        <v>59</v>
      </c>
      <c r="F15" s="12" t="s">
        <v>61</v>
      </c>
    </row>
    <row r="16">
      <c r="A16" s="7" t="s">
        <v>63</v>
      </c>
      <c r="B16" s="24">
        <v>0.13</v>
      </c>
      <c r="C16" s="24">
        <v>0.13</v>
      </c>
      <c r="D16" s="24">
        <v>0.12</v>
      </c>
      <c r="E16" s="7" t="s">
        <v>65</v>
      </c>
      <c r="F16" s="12" t="s">
        <v>66</v>
      </c>
    </row>
    <row r="17">
      <c r="A17" s="7" t="s">
        <v>67</v>
      </c>
      <c r="B17" s="24">
        <v>0.0175</v>
      </c>
      <c r="C17" s="24">
        <v>0.0175</v>
      </c>
      <c r="D17" s="24">
        <v>0.0175</v>
      </c>
      <c r="E17" s="7" t="s">
        <v>65</v>
      </c>
      <c r="F17" s="12" t="s">
        <v>69</v>
      </c>
    </row>
    <row r="18">
      <c r="A18" s="7" t="s">
        <v>70</v>
      </c>
      <c r="B18" s="13">
        <v>4.0</v>
      </c>
      <c r="C18" s="13">
        <v>4.0</v>
      </c>
      <c r="D18" s="13">
        <v>4.0</v>
      </c>
      <c r="E18" s="7" t="s">
        <v>71</v>
      </c>
      <c r="F18" s="12" t="s">
        <v>72</v>
      </c>
    </row>
    <row r="19">
      <c r="A19" s="7" t="s">
        <v>73</v>
      </c>
      <c r="B19" s="17">
        <v>5000.0</v>
      </c>
      <c r="C19" s="17">
        <v>10000.0</v>
      </c>
      <c r="D19" s="17">
        <v>20000.0</v>
      </c>
      <c r="E19" s="7" t="s">
        <v>74</v>
      </c>
      <c r="F19" s="12" t="s">
        <v>75</v>
      </c>
    </row>
    <row r="20">
      <c r="A20" s="31"/>
      <c r="B20" s="31"/>
      <c r="C20" s="31"/>
      <c r="D20" s="31"/>
      <c r="E20" s="31"/>
      <c r="F20" s="32"/>
    </row>
    <row r="21">
      <c r="A21" s="33" t="s">
        <v>79</v>
      </c>
      <c r="B21" s="31"/>
      <c r="C21" s="31"/>
      <c r="D21" s="31"/>
      <c r="E21" s="31"/>
      <c r="F21" s="32"/>
    </row>
    <row r="22">
      <c r="A22" s="34" t="s">
        <v>6</v>
      </c>
      <c r="B22" s="34" t="s">
        <v>23</v>
      </c>
      <c r="C22" s="34" t="s">
        <v>9</v>
      </c>
      <c r="D22" s="34" t="s">
        <v>54</v>
      </c>
      <c r="E22" s="34" t="s">
        <v>11</v>
      </c>
      <c r="F22" s="6" t="s">
        <v>12</v>
      </c>
    </row>
    <row r="23">
      <c r="A23" s="7" t="s">
        <v>13</v>
      </c>
      <c r="B23" s="36">
        <f>'Avoided loss'!B38</f>
        <v>18100</v>
      </c>
      <c r="C23" s="36">
        <f>'Avoided loss'!C38</f>
        <v>485000</v>
      </c>
      <c r="D23" s="36">
        <f>'Avoided loss'!D38</f>
        <v>4046600</v>
      </c>
      <c r="E23" s="7" t="s">
        <v>91</v>
      </c>
      <c r="F23" s="12" t="s">
        <v>92</v>
      </c>
    </row>
    <row r="24">
      <c r="A24" s="7" t="s">
        <v>93</v>
      </c>
      <c r="B24" s="36">
        <f>'Avoided loss'!B37</f>
        <v>10000</v>
      </c>
      <c r="C24" s="36">
        <f>'Avoided loss'!C37</f>
        <v>225000</v>
      </c>
      <c r="D24" s="36">
        <f>'Avoided loss'!D37</f>
        <v>1640000</v>
      </c>
      <c r="E24" s="7" t="s">
        <v>91</v>
      </c>
      <c r="F24" s="12" t="s">
        <v>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1.38"/>
    <col customWidth="1" min="2" max="4" width="13.88"/>
    <col customWidth="1" min="5" max="5" width="15.13"/>
    <col customWidth="1" min="6" max="6" width="77.63"/>
  </cols>
  <sheetData>
    <row r="1">
      <c r="A1" s="14" t="s">
        <v>26</v>
      </c>
      <c r="B1" s="15"/>
      <c r="C1" s="15"/>
      <c r="D1" s="15"/>
      <c r="E1" s="15"/>
      <c r="F1" s="15"/>
    </row>
    <row r="2" ht="30.0" customHeight="1">
      <c r="A2" s="19" t="s">
        <v>38</v>
      </c>
    </row>
    <row r="3">
      <c r="A3" s="15"/>
      <c r="B3" s="15"/>
      <c r="C3" s="15"/>
      <c r="D3" s="15"/>
      <c r="E3" s="15"/>
      <c r="F3" s="15"/>
    </row>
    <row r="4">
      <c r="A4" s="20" t="s">
        <v>47</v>
      </c>
      <c r="B4" s="21" t="s">
        <v>23</v>
      </c>
      <c r="C4" s="21" t="s">
        <v>9</v>
      </c>
      <c r="D4" s="21" t="s">
        <v>54</v>
      </c>
      <c r="E4" s="21" t="s">
        <v>11</v>
      </c>
      <c r="F4" s="20" t="s">
        <v>57</v>
      </c>
    </row>
    <row r="5">
      <c r="A5" s="23" t="s">
        <v>60</v>
      </c>
      <c r="B5" s="25"/>
      <c r="C5" s="25"/>
      <c r="D5" s="25"/>
      <c r="E5" s="25"/>
      <c r="F5" s="26"/>
    </row>
    <row r="6">
      <c r="A6" s="27" t="s">
        <v>68</v>
      </c>
      <c r="B6" s="29">
        <v>50.0</v>
      </c>
      <c r="C6" s="29">
        <v>100.0</v>
      </c>
      <c r="D6" s="29">
        <v>200.0</v>
      </c>
      <c r="E6" s="30" t="s">
        <v>76</v>
      </c>
      <c r="F6" s="27" t="s">
        <v>77</v>
      </c>
    </row>
    <row r="7">
      <c r="A7" s="27" t="s">
        <v>78</v>
      </c>
      <c r="B7" s="29">
        <v>1.0</v>
      </c>
      <c r="C7" s="29">
        <v>2.0</v>
      </c>
      <c r="D7" s="29">
        <v>3.0</v>
      </c>
      <c r="E7" s="30" t="s">
        <v>80</v>
      </c>
      <c r="F7" s="27" t="s">
        <v>81</v>
      </c>
    </row>
    <row r="8">
      <c r="A8" s="27" t="s">
        <v>82</v>
      </c>
      <c r="B8" s="29">
        <v>3000.0</v>
      </c>
      <c r="C8" s="29">
        <v>8000.0</v>
      </c>
      <c r="D8" s="29">
        <v>15000.0</v>
      </c>
      <c r="E8" s="30" t="s">
        <v>83</v>
      </c>
      <c r="F8" s="27" t="s">
        <v>84</v>
      </c>
    </row>
    <row r="9">
      <c r="A9" s="27" t="s">
        <v>85</v>
      </c>
      <c r="B9" s="29">
        <v>10.0</v>
      </c>
      <c r="C9" s="29">
        <v>30.0</v>
      </c>
      <c r="D9" s="29">
        <v>60.0</v>
      </c>
      <c r="E9" s="30" t="s">
        <v>86</v>
      </c>
      <c r="F9" s="27" t="s">
        <v>88</v>
      </c>
    </row>
    <row r="10">
      <c r="A10" s="27" t="s">
        <v>89</v>
      </c>
      <c r="B10" s="29">
        <v>3000.0</v>
      </c>
      <c r="C10" s="29">
        <v>6000.0</v>
      </c>
      <c r="D10" s="29">
        <v>12000.0</v>
      </c>
      <c r="E10" s="30" t="s">
        <v>83</v>
      </c>
      <c r="F10" s="27" t="s">
        <v>56</v>
      </c>
    </row>
    <row r="11">
      <c r="A11" s="27" t="s">
        <v>90</v>
      </c>
      <c r="B11" s="37">
        <f t="shared" ref="B11:D11" si="1">B6*B7*B8</f>
        <v>150000</v>
      </c>
      <c r="C11" s="37">
        <f t="shared" si="1"/>
        <v>1600000</v>
      </c>
      <c r="D11" s="37">
        <f t="shared" si="1"/>
        <v>9000000</v>
      </c>
      <c r="E11" s="30" t="s">
        <v>83</v>
      </c>
      <c r="F11" s="27" t="s">
        <v>95</v>
      </c>
    </row>
    <row r="12">
      <c r="A12" s="27" t="s">
        <v>96</v>
      </c>
      <c r="B12" s="37">
        <f t="shared" ref="B12:D12" si="2">B9*B7*B10</f>
        <v>30000</v>
      </c>
      <c r="C12" s="37">
        <f t="shared" si="2"/>
        <v>360000</v>
      </c>
      <c r="D12" s="37">
        <f t="shared" si="2"/>
        <v>2160000</v>
      </c>
      <c r="E12" s="30" t="s">
        <v>83</v>
      </c>
      <c r="F12" s="27" t="s">
        <v>98</v>
      </c>
    </row>
    <row r="13">
      <c r="A13" s="38" t="s">
        <v>100</v>
      </c>
      <c r="B13" s="40">
        <f t="shared" ref="B13:D13" si="3">B11+B12</f>
        <v>180000</v>
      </c>
      <c r="C13" s="40">
        <f t="shared" si="3"/>
        <v>1960000</v>
      </c>
      <c r="D13" s="40">
        <f t="shared" si="3"/>
        <v>11160000</v>
      </c>
      <c r="E13" s="41" t="s">
        <v>83</v>
      </c>
      <c r="F13" s="42"/>
    </row>
    <row r="14">
      <c r="A14" s="27" t="s">
        <v>103</v>
      </c>
      <c r="B14" s="29">
        <v>1000000.0</v>
      </c>
      <c r="C14" s="29">
        <v>3000000.0</v>
      </c>
      <c r="D14" s="29">
        <v>8000000.0</v>
      </c>
      <c r="E14" s="30" t="s">
        <v>83</v>
      </c>
      <c r="F14" s="27" t="s">
        <v>104</v>
      </c>
    </row>
    <row r="15">
      <c r="A15" s="27" t="s">
        <v>105</v>
      </c>
      <c r="B15" s="29">
        <v>1.0E8</v>
      </c>
      <c r="C15" s="29">
        <v>1.0E8</v>
      </c>
      <c r="D15" s="29">
        <v>1.0E8</v>
      </c>
      <c r="E15" s="30" t="s">
        <v>91</v>
      </c>
      <c r="F15" s="27" t="s">
        <v>106</v>
      </c>
    </row>
    <row r="16">
      <c r="A16" s="27" t="s">
        <v>107</v>
      </c>
      <c r="B16" s="43">
        <v>0.0</v>
      </c>
      <c r="C16" s="43">
        <v>0.01</v>
      </c>
      <c r="D16" s="43">
        <v>0.03</v>
      </c>
      <c r="E16" s="30" t="s">
        <v>109</v>
      </c>
      <c r="F16" s="27" t="s">
        <v>56</v>
      </c>
    </row>
    <row r="17">
      <c r="A17" s="27" t="s">
        <v>110</v>
      </c>
      <c r="B17" s="37">
        <f t="shared" ref="B17:D17" si="4">B15*B16</f>
        <v>0</v>
      </c>
      <c r="C17" s="37">
        <f t="shared" si="4"/>
        <v>1000000</v>
      </c>
      <c r="D17" s="37">
        <f t="shared" si="4"/>
        <v>3000000</v>
      </c>
      <c r="E17" s="30" t="s">
        <v>83</v>
      </c>
      <c r="F17" s="27" t="s">
        <v>111</v>
      </c>
    </row>
    <row r="18">
      <c r="A18" s="27" t="s">
        <v>112</v>
      </c>
      <c r="B18" s="29">
        <v>100000.0</v>
      </c>
      <c r="C18" s="29">
        <v>300000.0</v>
      </c>
      <c r="D18" s="29">
        <v>600000.0</v>
      </c>
      <c r="E18" s="30" t="s">
        <v>83</v>
      </c>
      <c r="F18" s="27" t="s">
        <v>56</v>
      </c>
    </row>
    <row r="19">
      <c r="A19" s="38" t="s">
        <v>113</v>
      </c>
      <c r="B19" s="40">
        <f t="shared" ref="B19:D19" si="5">B14+B17+B18</f>
        <v>1100000</v>
      </c>
      <c r="C19" s="40">
        <f t="shared" si="5"/>
        <v>4300000</v>
      </c>
      <c r="D19" s="40">
        <f t="shared" si="5"/>
        <v>11600000</v>
      </c>
      <c r="E19" s="41" t="s">
        <v>83</v>
      </c>
      <c r="F19" s="38" t="s">
        <v>114</v>
      </c>
    </row>
    <row r="20">
      <c r="A20" s="38" t="s">
        <v>115</v>
      </c>
      <c r="B20" s="40">
        <f t="shared" ref="B20:D20" si="6">B13+B19</f>
        <v>1280000</v>
      </c>
      <c r="C20" s="40">
        <f t="shared" si="6"/>
        <v>6260000</v>
      </c>
      <c r="D20" s="40">
        <f t="shared" si="6"/>
        <v>22760000</v>
      </c>
      <c r="E20" s="41" t="s">
        <v>83</v>
      </c>
      <c r="F20" s="42"/>
    </row>
    <row r="21">
      <c r="A21" s="27" t="s">
        <v>117</v>
      </c>
      <c r="B21" s="29">
        <v>5.022E8</v>
      </c>
      <c r="C21" s="29">
        <v>5.022E8</v>
      </c>
      <c r="D21" s="29">
        <v>5.022E8</v>
      </c>
      <c r="E21" s="30" t="s">
        <v>83</v>
      </c>
      <c r="F21" s="27" t="s">
        <v>118</v>
      </c>
    </row>
    <row r="22">
      <c r="A22" s="27" t="s">
        <v>119</v>
      </c>
      <c r="B22" s="44">
        <f t="shared" ref="B22:D22" si="7">IF(B21=0,0,B19/B21)</f>
        <v>0.002190362405</v>
      </c>
      <c r="C22" s="44">
        <f t="shared" si="7"/>
        <v>0.008562325767</v>
      </c>
      <c r="D22" s="44">
        <f t="shared" si="7"/>
        <v>0.02309836718</v>
      </c>
      <c r="E22" s="30" t="s">
        <v>121</v>
      </c>
      <c r="F22" s="45"/>
    </row>
    <row r="23">
      <c r="A23" s="45"/>
      <c r="B23" s="15"/>
      <c r="C23" s="15"/>
      <c r="D23" s="15"/>
      <c r="E23" s="15"/>
      <c r="F23" s="45"/>
    </row>
    <row r="24">
      <c r="A24" s="23" t="s">
        <v>122</v>
      </c>
      <c r="B24" s="25"/>
      <c r="C24" s="25"/>
      <c r="D24" s="25"/>
      <c r="E24" s="25"/>
      <c r="F24" s="26"/>
    </row>
    <row r="25">
      <c r="A25" s="27" t="s">
        <v>123</v>
      </c>
      <c r="B25" s="43">
        <v>0.3</v>
      </c>
      <c r="C25" s="43">
        <v>0.5</v>
      </c>
      <c r="D25" s="43">
        <v>0.7</v>
      </c>
      <c r="E25" s="30" t="s">
        <v>124</v>
      </c>
      <c r="F25" s="27" t="s">
        <v>125</v>
      </c>
    </row>
    <row r="26">
      <c r="A26" s="27" t="s">
        <v>126</v>
      </c>
      <c r="B26" s="43">
        <v>0.1</v>
      </c>
      <c r="C26" s="43">
        <v>0.19</v>
      </c>
      <c r="D26" s="43">
        <v>0.19</v>
      </c>
      <c r="E26" s="30" t="s">
        <v>121</v>
      </c>
      <c r="F26" s="27" t="s">
        <v>127</v>
      </c>
    </row>
    <row r="27">
      <c r="A27" s="27" t="s">
        <v>128</v>
      </c>
      <c r="B27" s="43">
        <v>0.4</v>
      </c>
      <c r="C27" s="43">
        <v>0.6</v>
      </c>
      <c r="D27" s="43">
        <v>0.8</v>
      </c>
      <c r="E27" s="30" t="s">
        <v>121</v>
      </c>
      <c r="F27" s="27" t="s">
        <v>129</v>
      </c>
    </row>
    <row r="28">
      <c r="A28" s="27" t="s">
        <v>130</v>
      </c>
      <c r="B28" s="43">
        <v>0.0</v>
      </c>
      <c r="C28" s="43">
        <v>0.05</v>
      </c>
      <c r="D28" s="43">
        <v>0.1</v>
      </c>
      <c r="E28" s="30" t="s">
        <v>131</v>
      </c>
      <c r="F28" s="27" t="s">
        <v>56</v>
      </c>
    </row>
    <row r="29">
      <c r="A29" s="27" t="s">
        <v>132</v>
      </c>
      <c r="B29" s="43">
        <v>0.0</v>
      </c>
      <c r="C29" s="43">
        <v>0.0</v>
      </c>
      <c r="D29" s="43">
        <v>0.2</v>
      </c>
      <c r="E29" s="30" t="s">
        <v>121</v>
      </c>
      <c r="F29" s="27" t="s">
        <v>133</v>
      </c>
    </row>
    <row r="30">
      <c r="A30" s="27" t="s">
        <v>134</v>
      </c>
      <c r="B30" s="43">
        <v>0.1</v>
      </c>
      <c r="C30" s="43">
        <v>0.25</v>
      </c>
      <c r="D30" s="43">
        <v>0.4</v>
      </c>
      <c r="E30" s="30" t="s">
        <v>121</v>
      </c>
      <c r="F30" s="27" t="s">
        <v>56</v>
      </c>
    </row>
    <row r="31">
      <c r="A31" s="27" t="s">
        <v>137</v>
      </c>
      <c r="B31" s="37">
        <f t="shared" ref="B31:D31" si="8">B11*B25*B26</f>
        <v>4500</v>
      </c>
      <c r="C31" s="37">
        <f t="shared" si="8"/>
        <v>152000</v>
      </c>
      <c r="D31" s="37">
        <f t="shared" si="8"/>
        <v>1197000</v>
      </c>
      <c r="E31" s="30" t="s">
        <v>83</v>
      </c>
      <c r="F31" s="27" t="s">
        <v>138</v>
      </c>
    </row>
    <row r="32">
      <c r="A32" s="27" t="s">
        <v>139</v>
      </c>
      <c r="B32" s="37">
        <f t="shared" ref="B32:D32" si="9">B12*B25*B27</f>
        <v>3600</v>
      </c>
      <c r="C32" s="37">
        <f t="shared" si="9"/>
        <v>108000</v>
      </c>
      <c r="D32" s="37">
        <f t="shared" si="9"/>
        <v>1209600</v>
      </c>
      <c r="E32" s="30" t="s">
        <v>83</v>
      </c>
      <c r="F32" s="27" t="s">
        <v>140</v>
      </c>
    </row>
    <row r="33">
      <c r="A33" s="27" t="s">
        <v>141</v>
      </c>
      <c r="B33" s="37">
        <f t="shared" ref="B33:D33" si="10">B14*B28</f>
        <v>0</v>
      </c>
      <c r="C33" s="37">
        <f t="shared" si="10"/>
        <v>150000</v>
      </c>
      <c r="D33" s="37">
        <f t="shared" si="10"/>
        <v>800000</v>
      </c>
      <c r="E33" s="30" t="s">
        <v>83</v>
      </c>
      <c r="F33" s="45"/>
    </row>
    <row r="34">
      <c r="A34" s="27" t="s">
        <v>144</v>
      </c>
      <c r="B34" s="37">
        <f t="shared" ref="B34:D34" si="11">B17*B29</f>
        <v>0</v>
      </c>
      <c r="C34" s="37">
        <f t="shared" si="11"/>
        <v>0</v>
      </c>
      <c r="D34" s="37">
        <f t="shared" si="11"/>
        <v>600000</v>
      </c>
      <c r="E34" s="30" t="s">
        <v>83</v>
      </c>
      <c r="F34" s="45"/>
    </row>
    <row r="35">
      <c r="A35" s="27" t="s">
        <v>146</v>
      </c>
      <c r="B35" s="37">
        <f t="shared" ref="B35:D35" si="12">B18*B30</f>
        <v>10000</v>
      </c>
      <c r="C35" s="37">
        <f t="shared" si="12"/>
        <v>75000</v>
      </c>
      <c r="D35" s="37">
        <f t="shared" si="12"/>
        <v>240000</v>
      </c>
      <c r="E35" s="30" t="s">
        <v>83</v>
      </c>
      <c r="F35" s="45"/>
    </row>
    <row r="36">
      <c r="A36" s="38" t="s">
        <v>147</v>
      </c>
      <c r="B36" s="40">
        <f t="shared" ref="B36:D36" si="13">B31+B32</f>
        <v>8100</v>
      </c>
      <c r="C36" s="40">
        <f t="shared" si="13"/>
        <v>260000</v>
      </c>
      <c r="D36" s="40">
        <f t="shared" si="13"/>
        <v>2406600</v>
      </c>
      <c r="E36" s="41" t="s">
        <v>83</v>
      </c>
      <c r="F36" s="42"/>
    </row>
    <row r="37">
      <c r="A37" s="38" t="s">
        <v>149</v>
      </c>
      <c r="B37" s="40">
        <f t="shared" ref="B37:D37" si="14">B33+B34+B35</f>
        <v>10000</v>
      </c>
      <c r="C37" s="40">
        <f t="shared" si="14"/>
        <v>225000</v>
      </c>
      <c r="D37" s="40">
        <f t="shared" si="14"/>
        <v>1640000</v>
      </c>
      <c r="E37" s="41" t="s">
        <v>83</v>
      </c>
      <c r="F37" s="42"/>
    </row>
    <row r="38">
      <c r="A38" s="38" t="s">
        <v>13</v>
      </c>
      <c r="B38" s="40">
        <f t="shared" ref="B38:D38" si="15">B36+B37</f>
        <v>18100</v>
      </c>
      <c r="C38" s="40">
        <f t="shared" si="15"/>
        <v>485000</v>
      </c>
      <c r="D38" s="40">
        <f t="shared" si="15"/>
        <v>4046600</v>
      </c>
      <c r="E38" s="41" t="s">
        <v>83</v>
      </c>
      <c r="F38" s="42"/>
    </row>
    <row r="39">
      <c r="A39" s="38" t="s">
        <v>152</v>
      </c>
      <c r="B39" s="48">
        <f t="shared" ref="B39:D39" si="16">IF(B20=0,0,B38/B20)</f>
        <v>0.014140625</v>
      </c>
      <c r="C39" s="48">
        <f t="shared" si="16"/>
        <v>0.07747603834</v>
      </c>
      <c r="D39" s="48">
        <f t="shared" si="16"/>
        <v>0.1777943761</v>
      </c>
      <c r="E39" s="41" t="s">
        <v>121</v>
      </c>
      <c r="F39" s="42"/>
    </row>
  </sheetData>
  <mergeCells count="1">
    <mergeCell ref="A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4" width="15.13"/>
    <col customWidth="1" min="5" max="5" width="52.63"/>
  </cols>
  <sheetData>
    <row r="1">
      <c r="A1" s="1" t="s">
        <v>1</v>
      </c>
      <c r="B1" s="2"/>
      <c r="C1" s="2"/>
      <c r="D1" s="2"/>
      <c r="E1" s="2"/>
    </row>
    <row r="2">
      <c r="A2" s="3" t="s">
        <v>4</v>
      </c>
      <c r="B2" s="2"/>
      <c r="C2" s="2"/>
      <c r="D2" s="2"/>
      <c r="E2" s="2"/>
    </row>
    <row r="3">
      <c r="A3" s="5"/>
      <c r="B3" s="4" t="s">
        <v>8</v>
      </c>
      <c r="C3" s="4" t="s">
        <v>9</v>
      </c>
      <c r="D3" s="4" t="s">
        <v>10</v>
      </c>
      <c r="E3" s="4" t="s">
        <v>19</v>
      </c>
    </row>
    <row r="4">
      <c r="A4" s="8" t="s">
        <v>22</v>
      </c>
      <c r="B4" s="11"/>
      <c r="C4" s="11"/>
      <c r="D4" s="11"/>
      <c r="E4" s="11"/>
    </row>
    <row r="5">
      <c r="A5" s="9" t="s">
        <v>27</v>
      </c>
      <c r="B5" s="18">
        <f>Inputs!B6*Inputs!B7*Inputs!B5</f>
        <v>2203.2</v>
      </c>
      <c r="C5" s="18">
        <f>Inputs!C6*Inputs!C7*Inputs!C5</f>
        <v>3623.04</v>
      </c>
      <c r="D5" s="18">
        <f>Inputs!D6*Inputs!D7*Inputs!D5</f>
        <v>17544</v>
      </c>
      <c r="E5" s="9" t="s">
        <v>62</v>
      </c>
    </row>
    <row r="6">
      <c r="A6" s="9" t="s">
        <v>64</v>
      </c>
      <c r="B6" s="18">
        <f>Inputs!B6*Inputs!B8</f>
        <v>1800</v>
      </c>
      <c r="C6" s="18">
        <f>Inputs!C6*Inputs!C8</f>
        <v>4000</v>
      </c>
      <c r="D6" s="18">
        <f>Inputs!D6*Inputs!D8</f>
        <v>8000</v>
      </c>
      <c r="E6" s="9" t="s">
        <v>87</v>
      </c>
    </row>
    <row r="7">
      <c r="A7" s="9" t="s">
        <v>37</v>
      </c>
      <c r="B7" s="18">
        <f>Inputs!B9*Inputs!B10*Inputs!B5</f>
        <v>693.6</v>
      </c>
      <c r="C7" s="18">
        <f>Inputs!C9*Inputs!C10*Inputs!C5</f>
        <v>2774.4</v>
      </c>
      <c r="D7" s="18">
        <f>Inputs!D9*Inputs!D10*Inputs!D5</f>
        <v>3814.8</v>
      </c>
      <c r="E7" s="9" t="s">
        <v>94</v>
      </c>
    </row>
    <row r="8">
      <c r="A8" s="9" t="s">
        <v>73</v>
      </c>
      <c r="B8" s="18">
        <f>Inputs!B19</f>
        <v>5000</v>
      </c>
      <c r="C8" s="18">
        <f>Inputs!C19</f>
        <v>10000</v>
      </c>
      <c r="D8" s="18">
        <f>Inputs!D19</f>
        <v>20000</v>
      </c>
      <c r="E8" s="9" t="s">
        <v>99</v>
      </c>
    </row>
    <row r="9">
      <c r="A9" s="8" t="s">
        <v>101</v>
      </c>
      <c r="B9" s="39">
        <f t="shared" ref="B9:D9" si="1">SUM(B5:B8)</f>
        <v>9696.8</v>
      </c>
      <c r="C9" s="39">
        <f t="shared" si="1"/>
        <v>20397.44</v>
      </c>
      <c r="D9" s="39">
        <f t="shared" si="1"/>
        <v>49358.8</v>
      </c>
      <c r="E9" s="11"/>
    </row>
    <row r="10">
      <c r="A10" s="11"/>
      <c r="B10" s="18"/>
      <c r="C10" s="18"/>
      <c r="D10" s="18"/>
      <c r="E10" s="11"/>
    </row>
    <row r="11">
      <c r="A11" s="8" t="s">
        <v>108</v>
      </c>
      <c r="B11" s="18"/>
      <c r="C11" s="18"/>
      <c r="D11" s="18"/>
      <c r="E11" s="11"/>
    </row>
    <row r="12">
      <c r="A12" s="9" t="s">
        <v>46</v>
      </c>
      <c r="B12" s="18">
        <f>Inputs!B12*12*Inputs!B5</f>
        <v>587.52</v>
      </c>
      <c r="C12" s="18">
        <f>Inputs!C12*12*Inputs!C5</f>
        <v>587.52</v>
      </c>
      <c r="D12" s="18">
        <f>Inputs!D12*12*Inputs!D5</f>
        <v>1175.04</v>
      </c>
      <c r="E12" s="9" t="s">
        <v>116</v>
      </c>
    </row>
    <row r="13">
      <c r="A13" s="9" t="s">
        <v>43</v>
      </c>
      <c r="B13" s="18">
        <f>Inputs!B9*Inputs!B11*12</f>
        <v>0</v>
      </c>
      <c r="C13" s="18">
        <f>Inputs!C9*Inputs!C11*12</f>
        <v>912</v>
      </c>
      <c r="D13" s="18">
        <f>Inputs!D9*Inputs!D11*12</f>
        <v>912</v>
      </c>
      <c r="E13" s="9" t="s">
        <v>120</v>
      </c>
    </row>
    <row r="14">
      <c r="A14" s="9" t="s">
        <v>50</v>
      </c>
      <c r="B14" s="18">
        <f>Inputs!B6*Inputs!B13</f>
        <v>600</v>
      </c>
      <c r="C14" s="18">
        <f>Inputs!C6*Inputs!C13</f>
        <v>1600</v>
      </c>
      <c r="D14" s="18">
        <f>Inputs!D6*Inputs!D13</f>
        <v>4000</v>
      </c>
      <c r="E14" s="9" t="s">
        <v>135</v>
      </c>
    </row>
    <row r="15">
      <c r="A15" s="9" t="s">
        <v>136</v>
      </c>
      <c r="B15" s="18">
        <f>Inputs!B15*(1+Inputs!B16+Inputs!B17)*12*Inputs!B14</f>
        <v>3442.5</v>
      </c>
      <c r="C15" s="18">
        <f>Inputs!C15*(1+Inputs!C16+Inputs!C17)*12*Inputs!C14</f>
        <v>13990.32</v>
      </c>
      <c r="D15" s="18">
        <f>Inputs!D15*(1+Inputs!D16+Inputs!D17)*12*Inputs!D14</f>
        <v>40950</v>
      </c>
      <c r="E15" s="9" t="s">
        <v>142</v>
      </c>
    </row>
    <row r="16">
      <c r="A16" s="8" t="s">
        <v>143</v>
      </c>
      <c r="B16" s="39">
        <f t="shared" ref="B16:D16" si="2">SUM(B12:B15)</f>
        <v>4630.02</v>
      </c>
      <c r="C16" s="39">
        <f t="shared" si="2"/>
        <v>17089.84</v>
      </c>
      <c r="D16" s="39">
        <f t="shared" si="2"/>
        <v>47037.04</v>
      </c>
      <c r="E16" s="11"/>
    </row>
    <row r="17">
      <c r="A17" s="11"/>
      <c r="B17" s="18"/>
      <c r="C17" s="18"/>
      <c r="D17" s="18"/>
      <c r="E17" s="11"/>
    </row>
    <row r="18">
      <c r="A18" s="46" t="s">
        <v>145</v>
      </c>
      <c r="B18" s="47">
        <f t="shared" ref="B18:D18" si="3">B9+B16</f>
        <v>14326.82</v>
      </c>
      <c r="C18" s="47">
        <f t="shared" si="3"/>
        <v>37487.28</v>
      </c>
      <c r="D18" s="47">
        <f t="shared" si="3"/>
        <v>96395.84</v>
      </c>
      <c r="E18" s="9" t="s">
        <v>148</v>
      </c>
    </row>
    <row r="19">
      <c r="A19" s="11"/>
      <c r="B19" s="18"/>
      <c r="C19" s="18"/>
      <c r="D19" s="18"/>
      <c r="E19" s="11"/>
    </row>
    <row r="20">
      <c r="A20" s="8" t="s">
        <v>150</v>
      </c>
      <c r="B20" s="18"/>
      <c r="C20" s="18"/>
      <c r="D20" s="18"/>
      <c r="E20" s="11"/>
    </row>
    <row r="21">
      <c r="A21" s="9" t="s">
        <v>151</v>
      </c>
      <c r="B21" s="18">
        <f>(B5+B6+B7)/Inputs!B18</f>
        <v>1174.2</v>
      </c>
      <c r="C21" s="18">
        <f>(C5+C6+C7)/Inputs!C18</f>
        <v>2599.36</v>
      </c>
      <c r="D21" s="18">
        <f>(D5+D6+D7)/Inputs!D18</f>
        <v>7339.7</v>
      </c>
      <c r="E21" s="9" t="s">
        <v>153</v>
      </c>
    </row>
    <row r="22">
      <c r="A22" s="9" t="s">
        <v>154</v>
      </c>
      <c r="B22" s="18">
        <f t="shared" ref="B22:D22" si="4">B16</f>
        <v>4630.02</v>
      </c>
      <c r="C22" s="18">
        <f t="shared" si="4"/>
        <v>17089.84</v>
      </c>
      <c r="D22" s="18">
        <f t="shared" si="4"/>
        <v>47037.04</v>
      </c>
      <c r="E22" s="9" t="s">
        <v>155</v>
      </c>
    </row>
    <row r="23">
      <c r="A23" s="46" t="s">
        <v>156</v>
      </c>
      <c r="B23" s="47">
        <f t="shared" ref="B23:D23" si="5">B21+B22</f>
        <v>5804.22</v>
      </c>
      <c r="C23" s="47">
        <f t="shared" si="5"/>
        <v>19689.2</v>
      </c>
      <c r="D23" s="47">
        <f t="shared" si="5"/>
        <v>54376.74</v>
      </c>
      <c r="E23" s="9" t="s">
        <v>157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8" width="18.88"/>
  </cols>
  <sheetData>
    <row r="1">
      <c r="A1" s="1" t="s">
        <v>2</v>
      </c>
      <c r="B1" s="2"/>
      <c r="C1" s="2"/>
      <c r="D1" s="2"/>
      <c r="E1" s="2"/>
      <c r="F1" s="2"/>
      <c r="G1" s="2"/>
      <c r="H1" s="2"/>
    </row>
    <row r="2">
      <c r="A2" s="3" t="s">
        <v>5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39.0" customHeight="1">
      <c r="A4" s="6" t="s">
        <v>7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18</v>
      </c>
      <c r="G4" s="6" t="s">
        <v>20</v>
      </c>
      <c r="H4" s="6" t="s">
        <v>21</v>
      </c>
    </row>
    <row r="5">
      <c r="A5" s="9" t="s">
        <v>23</v>
      </c>
      <c r="B5" s="18">
        <f>Inputs!B23</f>
        <v>18100</v>
      </c>
      <c r="C5" s="18">
        <f>Inputs!B24</f>
        <v>10000</v>
      </c>
      <c r="D5" s="18">
        <f>Budget!$C$23</f>
        <v>19689.2</v>
      </c>
      <c r="E5" s="18">
        <f>Budget!$D$23</f>
        <v>54376.74</v>
      </c>
      <c r="F5" s="28">
        <f t="shared" ref="F5:F7" si="1">IF(D5=0,0,C5/D5)</f>
        <v>0.5078926518</v>
      </c>
      <c r="G5" s="28">
        <f t="shared" ref="G5:G7" si="2">IF(E5=0,0,C5/E5)</f>
        <v>0.1839021611</v>
      </c>
      <c r="H5" s="35" t="str">
        <f t="shared" ref="H5:H7" si="3">IF(F5&gt;=1,"Yes","No")</f>
        <v>No</v>
      </c>
    </row>
    <row r="6">
      <c r="A6" s="9" t="s">
        <v>9</v>
      </c>
      <c r="B6" s="18">
        <f>Inputs!C23</f>
        <v>485000</v>
      </c>
      <c r="C6" s="18">
        <f>Inputs!C24</f>
        <v>225000</v>
      </c>
      <c r="D6" s="18">
        <f>Budget!$C$23</f>
        <v>19689.2</v>
      </c>
      <c r="E6" s="18">
        <f>Budget!$D$23</f>
        <v>54376.74</v>
      </c>
      <c r="F6" s="28">
        <f t="shared" si="1"/>
        <v>11.42758467</v>
      </c>
      <c r="G6" s="28">
        <f t="shared" si="2"/>
        <v>4.137798625</v>
      </c>
      <c r="H6" s="35" t="str">
        <f t="shared" si="3"/>
        <v>Yes</v>
      </c>
    </row>
    <row r="7">
      <c r="A7" s="9" t="s">
        <v>54</v>
      </c>
      <c r="B7" s="18">
        <f>Inputs!D23</f>
        <v>4046600</v>
      </c>
      <c r="C7" s="18">
        <f>Inputs!D24</f>
        <v>1640000</v>
      </c>
      <c r="D7" s="18">
        <f>Budget!$C$23</f>
        <v>19689.2</v>
      </c>
      <c r="E7" s="18">
        <f>Budget!$D$23</f>
        <v>54376.74</v>
      </c>
      <c r="F7" s="28">
        <f t="shared" si="1"/>
        <v>83.2943949</v>
      </c>
      <c r="G7" s="28">
        <f t="shared" si="2"/>
        <v>30.15995442</v>
      </c>
      <c r="H7" s="35" t="str">
        <f t="shared" si="3"/>
        <v>Yes</v>
      </c>
    </row>
    <row r="8">
      <c r="A8" s="2"/>
      <c r="B8" s="2"/>
      <c r="C8" s="2"/>
      <c r="D8" s="2"/>
      <c r="E8" s="2"/>
      <c r="F8" s="2"/>
      <c r="G8" s="2"/>
      <c r="H8" s="2"/>
    </row>
    <row r="9">
      <c r="A9" s="3" t="s">
        <v>102</v>
      </c>
      <c r="B9" s="2"/>
      <c r="C9" s="2"/>
      <c r="D9" s="2"/>
      <c r="E9" s="2"/>
      <c r="F9" s="2"/>
      <c r="G9" s="2"/>
      <c r="H9" s="2"/>
    </row>
  </sheetData>
  <drawing r:id="rId1"/>
</worksheet>
</file>